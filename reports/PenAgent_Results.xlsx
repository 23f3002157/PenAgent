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Agent Metrics" sheetId="1" state="visible" r:id="rId3"/>
    <sheet name="Baseline Metrics" sheetId="2" state="visible" r:id="rId4"/>
    <sheet name="Comparison" sheetId="3" state="visible" r:id="rId5"/>
    <sheet name="DVWS Findings" sheetId="4" state="visible" r:id="rId6"/>
    <sheet name="SREBench Findings" sheetId="5" state="visible" r:id="rId7"/>
    <sheet name="Juice Shop Find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<sst xmlns="http://schemas.openxmlformats.org/spreadsheetml/2006/main" count="132" uniqueCount="78">
  <si>
    <t xml:space="preserve">PenAgent — Headline Metrics (Section 6.2)</t>
  </si>
  <si>
    <t xml:space="preserve">Run 2026-10-26. n=1 per (target, mode). Source: demo/run_evaluation.py + demo/evaluate.py, ground truth: demo/benchmark-data/ground_truth_chains.json. Computed, not estimated.</t>
  </si>
  <si>
    <t xml:space="preserve">Target</t>
  </si>
  <si>
    <t xml:space="preserve">Mode</t>
  </si>
  <si>
    <t xml:space="preserve">TPR</t>
  </si>
  <si>
    <t xml:space="preserve">FPR</t>
  </si>
  <si>
    <t xml:space="preserve">Avg. chain depth</t>
  </si>
  <si>
    <t xml:space="preserve">CVSS accuracy</t>
  </si>
  <si>
    <t xml:space="preserve">Time to 1st finding (s)</t>
  </si>
  <si>
    <t xml:space="preserve">Unnecessary-action rate</t>
  </si>
  <si>
    <t xml:space="preserve">Replan frequency</t>
  </si>
  <si>
    <t xml:space="preserve">DVWS</t>
  </si>
  <si>
    <t xml:space="preserve">Autonomous</t>
  </si>
  <si>
    <t xml:space="preserve">Guided</t>
  </si>
  <si>
    <t xml:space="preserve">SREBench-API</t>
  </si>
  <si>
    <t xml:space="preserve">Juice Shop</t>
  </si>
  <si>
    <t xml:space="preserve">Source: reports/eval-final-autonomous.json, reports/eval-final-guided.json (gitignored run artifacts) scored with demo/evaluate.py against demo/benchmark-data/ground_truth_chains.json. — = no denominator (zero probes executed / zero confirmed findings).</t>
  </si>
  <si>
    <t xml:space="preserve">PentestGPT-style Baseline — Prompt-only, No Execution (Section 6.3)</t>
  </si>
  <si>
    <t xml:space="preserve">Open-weight models via Ollama, NOT GPT-4 (the paper's original baseline model) — stated explicitly, not a claimed equivalent. Source: demo/baseline_pentestgpt.py, scored with the same demo/evaluate.py and ground truth as the PenAgent Metrics sheet.</t>
  </si>
  <si>
    <t xml:space="preserve">Model</t>
  </si>
  <si>
    <t xml:space="preserve">Parameters</t>
  </si>
  <si>
    <t xml:space="preserve">Findings suggested</t>
  </si>
  <si>
    <t xml:space="preserve">Wall clock (s)</t>
  </si>
  <si>
    <t xml:space="preserve">llama3.2:3b</t>
  </si>
  <si>
    <t xml:space="preserve">3.2B</t>
  </si>
  <si>
    <t xml:space="preserve">phi3:latest</t>
  </si>
  <si>
    <t xml:space="preserve">3.8B</t>
  </si>
  <si>
    <t xml:space="preserve">gemma3:4b</t>
  </si>
  <si>
    <t xml:space="preserve">4.3B</t>
  </si>
  <si>
    <t xml:space="preserve">Average across all 3 models</t>
  </si>
  <si>
    <t xml:space="preserve">FPR formula: AVERAGE(FPR column) across the 9 (target, model) runs. Source files: reports/baseline-final-llama3.2-3b.json, reports/baseline-final-phi3-latest.json, reports/baseline-final-gemma3-4b.json (gitignored run artifacts).</t>
  </si>
  <si>
    <t xml:space="preserve">PenAgent (Guided) vs. Baseline — Why TPR Alone Is Misleading</t>
  </si>
  <si>
    <t xml:space="preserve">The baseline's TPR is sometimes higher, but it cannot distinguish a correct guess from a hallucinated one: it never executes a single request. PenAgent's guided-mode CONFIRMED findings require real, matching HTTP evidence — hence 0% FPR everywhere, vs. 20–60% for the baseline.</t>
  </si>
  <si>
    <t xml:space="preserve">PenAgent (guided) TPR</t>
  </si>
  <si>
    <t xml:space="preserve">PenAgent (guided) FPR</t>
  </si>
  <si>
    <t xml:space="preserve">Baseline TPR (avg of 3 models)</t>
  </si>
  <si>
    <t xml:space="preserve">Baseline FPR min</t>
  </si>
  <si>
    <t xml:space="preserve">Baseline FPR max</t>
  </si>
  <si>
    <t xml:space="preserve">Green cells link to the Baseline Metrics sheet (computed there, referenced here, not re-typed). PenAgent FPR values are literal: 0% in all 9 (target,mode) PenAgent runs where a CONFIRMED finding existed, per demo/evaluate.py.</t>
  </si>
  <si>
    <t xml:space="preserve">DVWS — Findings by Ground-Truth ID</t>
  </si>
  <si>
    <t xml:space="preserve">Source: docs/RESULTS.md</t>
  </si>
  <si>
    <t xml:space="preserve">ID</t>
  </si>
  <si>
    <t xml:space="preserve">Vulnerability</t>
  </si>
  <si>
    <t xml:space="preserve">Guided result</t>
  </si>
  <si>
    <t xml:space="preserve">Autonomous result</t>
  </si>
  <si>
    <t xml:space="preserve">DVWS-API1</t>
  </si>
  <si>
    <t xml:space="preserve">Account BOLA / IDOR</t>
  </si>
  <si>
    <t xml:space="preserve">CONFIRMED, CVSS 7.5</t>
  </si>
  <si>
    <t xml:space="preserve">not reached</t>
  </si>
  <si>
    <t xml:space="preserve">DVWS-API2</t>
  </si>
  <si>
    <t xml:space="preserve">Broken auth (SQLi bypass)</t>
  </si>
  <si>
    <t xml:space="preserve">CONFIRMED, CVSS 5.3</t>
  </si>
  <si>
    <t xml:space="preserve">DVWS-API3</t>
  </si>
  <si>
    <t xml:space="preserve">Mass-assignment privilege escalation</t>
  </si>
  <si>
    <t xml:space="preserve">CONFIRMED, CVSS 8.2 (via Component 5 approval)</t>
  </si>
  <si>
    <t xml:space="preserve">DVWS-API5</t>
  </si>
  <si>
    <t xml:space="preserve">Broken function-level auth (cache purge)</t>
  </si>
  <si>
    <t xml:space="preserve">STRONG_SIGNAL, CVSS 7.5 (via Component 5 approval)</t>
  </si>
  <si>
    <t xml:space="preserve">approved+executed, not independently confirmed</t>
  </si>
  <si>
    <t xml:space="preserve">DVWS-API8</t>
  </si>
  <si>
    <t xml:space="preserve">Debug/env secret leak</t>
  </si>
  <si>
    <t xml:space="preserve">STRONG_SIGNAL, CVSS 7.5</t>
  </si>
  <si>
    <t xml:space="preserve">SREBench-API — Findings by Ground-Truth ID</t>
  </si>
  <si>
    <t xml:space="preserve">SRE-01</t>
  </si>
  <si>
    <t xml:space="preserve">Cross-service BOLA (profile leak)</t>
  </si>
  <si>
    <t xml:space="preserve">SRE-02</t>
  </si>
  <si>
    <t xml:space="preserve">Cross-service trust-boundary header bypass (vault RSA key)</t>
  </si>
  <si>
    <t xml:space="preserve">Juice Shop — Findings by Ground-Truth ID</t>
  </si>
  <si>
    <t xml:space="preserve">JS-01</t>
  </si>
  <si>
    <t xml:space="preserve">Admin registration (mass assignment)</t>
  </si>
  <si>
    <t xml:space="preserve">CONFIRMED, CVSS 8.2, via Component 5 — independently confirmed by Juice Shop's own /api/Challenges tracker</t>
  </si>
  <si>
    <t xml:space="preserve">not in provided sample spec</t>
  </si>
  <si>
    <t xml:space="preserve">JS-02</t>
  </si>
  <si>
    <t xml:space="preserve">Users BOLA / IDOR</t>
  </si>
  <si>
    <t xml:space="preserve">not exercised this pass (needs a login/session step)</t>
  </si>
  <si>
    <t xml:space="preserve">JS-03</t>
  </si>
  <si>
    <t xml:space="preserve">Admin configuration leak</t>
  </si>
  <si>
    <t xml:space="preserve">STRONG_SIGNAL, CVSS 5.3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</si>
</sst>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%;\(0.0%\);\—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A5F"/>
        <bgColor rgb="FF333333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6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n">
        <v>0</v>
      </c>
      <c r="D5" s="6"/>
      <c r="E5" s="7" t="n">
        <v>1</v>
      </c>
      <c r="F5" s="6"/>
      <c r="G5" s="7" t="n">
        <v>0.808917999267578</v>
      </c>
      <c r="H5" s="5" t="n">
        <v>0.333</v>
      </c>
      <c r="I5" s="5" t="n">
        <v>0</v>
      </c>
    </row>
    <row r="6" customFormat="false" ht="15" hidden="false" customHeight="false" outlineLevel="0" collapsed="false">
      <c r="A6" s="8" t="s">
        <v>11</v>
      </c>
      <c r="B6" s="8" t="s">
        <v>13</v>
      </c>
      <c r="C6" s="9" t="n">
        <v>0.8</v>
      </c>
      <c r="D6" s="10" t="n">
        <v>0</v>
      </c>
      <c r="E6" s="11" t="n">
        <v>1</v>
      </c>
      <c r="F6" s="10" t="n">
        <v>0.86</v>
      </c>
      <c r="G6" s="11" t="n">
        <v>0.0485162734985352</v>
      </c>
      <c r="H6" s="9" t="n">
        <v>0</v>
      </c>
      <c r="I6" s="9" t="n">
        <v>0</v>
      </c>
    </row>
    <row r="7" customFormat="false" ht="15" hidden="false" customHeight="false" outlineLevel="0" collapsed="false">
      <c r="A7" s="4" t="s">
        <v>14</v>
      </c>
      <c r="B7" s="4" t="s">
        <v>12</v>
      </c>
      <c r="C7" s="5" t="n">
        <v>0</v>
      </c>
      <c r="D7" s="6"/>
      <c r="E7" s="7"/>
      <c r="F7" s="6"/>
      <c r="G7" s="7"/>
      <c r="H7" s="5" t="n">
        <v>0</v>
      </c>
      <c r="I7" s="5" t="n">
        <v>0</v>
      </c>
    </row>
    <row r="8" customFormat="false" ht="15" hidden="false" customHeight="false" outlineLevel="0" collapsed="false">
      <c r="A8" s="8" t="s">
        <v>14</v>
      </c>
      <c r="B8" s="8" t="s">
        <v>13</v>
      </c>
      <c r="C8" s="9" t="n">
        <v>1</v>
      </c>
      <c r="D8" s="10" t="n">
        <v>0</v>
      </c>
      <c r="E8" s="11" t="n">
        <v>1</v>
      </c>
      <c r="F8" s="10" t="n">
        <v>0.63</v>
      </c>
      <c r="G8" s="11" t="n">
        <v>0.0377888679504395</v>
      </c>
      <c r="H8" s="9" t="n">
        <v>0</v>
      </c>
      <c r="I8" s="9" t="n">
        <v>0</v>
      </c>
    </row>
    <row r="9" customFormat="false" ht="15" hidden="false" customHeight="false" outlineLevel="0" collapsed="false">
      <c r="A9" s="4" t="s">
        <v>15</v>
      </c>
      <c r="B9" s="4" t="s">
        <v>12</v>
      </c>
      <c r="C9" s="5" t="n">
        <v>0</v>
      </c>
      <c r="D9" s="6"/>
      <c r="E9" s="7" t="n">
        <v>1</v>
      </c>
      <c r="F9" s="6"/>
      <c r="G9" s="7" t="n">
        <v>0.480815887451172</v>
      </c>
      <c r="H9" s="5" t="n">
        <v>0.5</v>
      </c>
      <c r="I9" s="5" t="n">
        <v>0</v>
      </c>
    </row>
    <row r="10" customFormat="false" ht="15" hidden="false" customHeight="false" outlineLevel="0" collapsed="false">
      <c r="A10" s="8" t="s">
        <v>15</v>
      </c>
      <c r="B10" s="8" t="s">
        <v>13</v>
      </c>
      <c r="C10" s="9" t="n">
        <v>0.333</v>
      </c>
      <c r="D10" s="10" t="n">
        <v>0</v>
      </c>
      <c r="E10" s="11" t="n">
        <v>1</v>
      </c>
      <c r="F10" s="10" t="n">
        <v>0.99</v>
      </c>
      <c r="G10" s="11" t="n">
        <v>0.0997769832611084</v>
      </c>
      <c r="H10" s="9" t="n">
        <v>0</v>
      </c>
      <c r="I10" s="9" t="n">
        <v>0</v>
      </c>
    </row>
    <row r="12" customFormat="false" ht="15" hidden="false" customHeight="false" outlineLevel="0" collapsed="false">
      <c r="A12" s="12" t="s">
        <v>16</v>
      </c>
      <c r="B12" s="12"/>
      <c r="C12" s="12"/>
      <c r="D12" s="12"/>
      <c r="E12" s="12"/>
      <c r="F12" s="12"/>
      <c r="G12" s="12"/>
      <c r="H12" s="12"/>
      <c r="I12" s="12"/>
    </row>
  </sheetData>
  <mergeCells count="3">
    <mergeCell ref="A1:I1"/>
    <mergeCell ref="A2:I2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18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19</v>
      </c>
      <c r="C4" s="3" t="s">
        <v>20</v>
      </c>
      <c r="D4" s="3" t="s">
        <v>4</v>
      </c>
      <c r="E4" s="3" t="s">
        <v>5</v>
      </c>
      <c r="F4" s="3" t="s">
        <v>21</v>
      </c>
      <c r="G4" s="3" t="s">
        <v>22</v>
      </c>
    </row>
    <row r="5" customFormat="false" ht="15" hidden="false" customHeight="false" outlineLevel="0" collapsed="false">
      <c r="A5" s="4" t="s">
        <v>11</v>
      </c>
      <c r="B5" s="4" t="s">
        <v>23</v>
      </c>
      <c r="C5" s="7" t="s">
        <v>24</v>
      </c>
      <c r="D5" s="5" t="n">
        <v>0.4</v>
      </c>
      <c r="E5" s="6" t="n">
        <v>0.333</v>
      </c>
      <c r="F5" s="7" t="n">
        <v>3</v>
      </c>
      <c r="G5" s="7" t="n">
        <v>5.64</v>
      </c>
    </row>
    <row r="6" customFormat="false" ht="15" hidden="false" customHeight="false" outlineLevel="0" collapsed="false">
      <c r="A6" s="8" t="s">
        <v>11</v>
      </c>
      <c r="B6" s="8" t="s">
        <v>25</v>
      </c>
      <c r="C6" s="11" t="s">
        <v>26</v>
      </c>
      <c r="D6" s="9" t="n">
        <v>0.4</v>
      </c>
      <c r="E6" s="10" t="n">
        <v>0.6</v>
      </c>
      <c r="F6" s="11" t="n">
        <v>5</v>
      </c>
      <c r="G6" s="11" t="n">
        <v>10.94</v>
      </c>
    </row>
    <row r="7" customFormat="false" ht="15" hidden="false" customHeight="false" outlineLevel="0" collapsed="false">
      <c r="A7" s="4" t="s">
        <v>11</v>
      </c>
      <c r="B7" s="4" t="s">
        <v>27</v>
      </c>
      <c r="C7" s="7" t="s">
        <v>28</v>
      </c>
      <c r="D7" s="5" t="n">
        <v>0.6</v>
      </c>
      <c r="E7" s="6" t="n">
        <v>0.333</v>
      </c>
      <c r="F7" s="7" t="n">
        <v>6</v>
      </c>
      <c r="G7" s="7" t="n">
        <v>13.83</v>
      </c>
    </row>
    <row r="8" customFormat="false" ht="15" hidden="false" customHeight="false" outlineLevel="0" collapsed="false">
      <c r="A8" s="8" t="s">
        <v>14</v>
      </c>
      <c r="B8" s="8" t="s">
        <v>23</v>
      </c>
      <c r="C8" s="11" t="s">
        <v>24</v>
      </c>
      <c r="D8" s="9" t="n">
        <v>1</v>
      </c>
      <c r="E8" s="10" t="n">
        <v>0.333</v>
      </c>
      <c r="F8" s="11" t="n">
        <v>3</v>
      </c>
      <c r="G8" s="11" t="n">
        <v>3.67</v>
      </c>
    </row>
    <row r="9" customFormat="false" ht="15" hidden="false" customHeight="false" outlineLevel="0" collapsed="false">
      <c r="A9" s="4" t="s">
        <v>14</v>
      </c>
      <c r="B9" s="4" t="s">
        <v>25</v>
      </c>
      <c r="C9" s="7" t="s">
        <v>26</v>
      </c>
      <c r="D9" s="5" t="n">
        <v>1</v>
      </c>
      <c r="E9" s="6" t="n">
        <v>0.333</v>
      </c>
      <c r="F9" s="7" t="n">
        <v>3</v>
      </c>
      <c r="G9" s="7" t="n">
        <v>5.36</v>
      </c>
    </row>
    <row r="10" customFormat="false" ht="15" hidden="false" customHeight="false" outlineLevel="0" collapsed="false">
      <c r="A10" s="8" t="s">
        <v>14</v>
      </c>
      <c r="B10" s="8" t="s">
        <v>27</v>
      </c>
      <c r="C10" s="11" t="s">
        <v>28</v>
      </c>
      <c r="D10" s="9" t="n">
        <v>1</v>
      </c>
      <c r="E10" s="10" t="n">
        <v>0.25</v>
      </c>
      <c r="F10" s="11" t="n">
        <v>4</v>
      </c>
      <c r="G10" s="11" t="n">
        <v>7.33</v>
      </c>
    </row>
    <row r="11" customFormat="false" ht="15" hidden="false" customHeight="false" outlineLevel="0" collapsed="false">
      <c r="A11" s="4" t="s">
        <v>15</v>
      </c>
      <c r="B11" s="4" t="s">
        <v>23</v>
      </c>
      <c r="C11" s="7" t="s">
        <v>24</v>
      </c>
      <c r="D11" s="5" t="n">
        <v>0.667</v>
      </c>
      <c r="E11" s="6" t="n">
        <v>0.333</v>
      </c>
      <c r="F11" s="7" t="n">
        <v>3</v>
      </c>
      <c r="G11" s="7" t="n">
        <v>3.46</v>
      </c>
    </row>
    <row r="12" customFormat="false" ht="15" hidden="false" customHeight="false" outlineLevel="0" collapsed="false">
      <c r="A12" s="8" t="s">
        <v>15</v>
      </c>
      <c r="B12" s="8" t="s">
        <v>25</v>
      </c>
      <c r="C12" s="11" t="s">
        <v>26</v>
      </c>
      <c r="D12" s="9" t="n">
        <v>1</v>
      </c>
      <c r="E12" s="10" t="n">
        <v>0.2</v>
      </c>
      <c r="F12" s="11" t="n">
        <v>5</v>
      </c>
      <c r="G12" s="11" t="n">
        <v>8.33</v>
      </c>
    </row>
    <row r="13" customFormat="false" ht="15" hidden="false" customHeight="false" outlineLevel="0" collapsed="false">
      <c r="A13" s="4" t="s">
        <v>15</v>
      </c>
      <c r="B13" s="4" t="s">
        <v>27</v>
      </c>
      <c r="C13" s="7" t="s">
        <v>28</v>
      </c>
      <c r="D13" s="5" t="n">
        <v>0.667</v>
      </c>
      <c r="E13" s="6" t="n">
        <v>0.4</v>
      </c>
      <c r="F13" s="7" t="n">
        <v>5</v>
      </c>
      <c r="G13" s="7" t="n">
        <v>8.65</v>
      </c>
    </row>
    <row r="15" customFormat="false" ht="15" hidden="false" customHeight="false" outlineLevel="0" collapsed="false">
      <c r="A15" s="13" t="s">
        <v>29</v>
      </c>
      <c r="B15" s="13"/>
      <c r="C15" s="13"/>
      <c r="D15" s="14" t="n">
        <f aca="false">AVERAGE(D5:D13)</f>
        <v>0.748222222222222</v>
      </c>
      <c r="E15" s="14" t="n">
        <f aca="false">AVERAGE(E5:E13)</f>
        <v>0.346111111111111</v>
      </c>
      <c r="F15" s="15"/>
      <c r="G15" s="15"/>
    </row>
    <row r="17" customFormat="false" ht="15" hidden="false" customHeight="false" outlineLevel="0" collapsed="false">
      <c r="A17" s="12" t="s">
        <v>30</v>
      </c>
      <c r="B17" s="12"/>
      <c r="C17" s="12"/>
      <c r="D17" s="12"/>
      <c r="E17" s="12"/>
      <c r="F17" s="12"/>
      <c r="G17" s="12"/>
    </row>
  </sheetData>
  <mergeCells count="4">
    <mergeCell ref="A1:G1"/>
    <mergeCell ref="A2:G2"/>
    <mergeCell ref="A15:C15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15"/>
  </cols>
  <sheetData>
    <row r="1" customFormat="false" ht="19.7" hidden="false" customHeight="false" outlineLevel="0" collapsed="false">
      <c r="A1" s="1" t="s">
        <v>31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32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</row>
    <row r="5" customFormat="false" ht="15" hidden="false" customHeight="false" outlineLevel="0" collapsed="false">
      <c r="A5" s="16" t="s">
        <v>11</v>
      </c>
      <c r="B5" s="17" t="n">
        <v>0.8</v>
      </c>
      <c r="C5" s="5" t="n">
        <v>0</v>
      </c>
      <c r="D5" s="18" t="n">
        <f aca="false">AVERAGE('Baseline Metrics'!D5:D7)</f>
        <v>0.466666666666667</v>
      </c>
      <c r="E5" s="18" t="n">
        <f aca="false">MIN('Baseline Metrics'!E5:E7)</f>
        <v>0.333</v>
      </c>
      <c r="F5" s="18" t="n">
        <f aca="false">MAX('Baseline Metrics'!E5:E7)</f>
        <v>0.6</v>
      </c>
    </row>
    <row r="6" customFormat="false" ht="15" hidden="false" customHeight="false" outlineLevel="0" collapsed="false">
      <c r="A6" s="19" t="s">
        <v>14</v>
      </c>
      <c r="B6" s="20" t="n">
        <v>1</v>
      </c>
      <c r="C6" s="9" t="n">
        <v>0</v>
      </c>
      <c r="D6" s="21" t="n">
        <f aca="false">AVERAGE('Baseline Metrics'!D8:D10)</f>
        <v>1</v>
      </c>
      <c r="E6" s="21" t="n">
        <f aca="false">MIN('Baseline Metrics'!E8:E10)</f>
        <v>0.25</v>
      </c>
      <c r="F6" s="21" t="n">
        <f aca="false">MAX('Baseline Metrics'!E8:E10)</f>
        <v>0.333</v>
      </c>
    </row>
    <row r="7" customFormat="false" ht="15" hidden="false" customHeight="false" outlineLevel="0" collapsed="false">
      <c r="A7" s="16" t="s">
        <v>15</v>
      </c>
      <c r="B7" s="17" t="n">
        <v>0.333</v>
      </c>
      <c r="C7" s="5" t="n">
        <v>0</v>
      </c>
      <c r="D7" s="18" t="n">
        <f aca="false">AVERAGE('Baseline Metrics'!D11:D13)</f>
        <v>0.778</v>
      </c>
      <c r="E7" s="18" t="n">
        <f aca="false">MIN('Baseline Metrics'!E11:E13)</f>
        <v>0.2</v>
      </c>
      <c r="F7" s="18" t="n">
        <f aca="false">MAX('Baseline Metrics'!E11:E13)</f>
        <v>0.4</v>
      </c>
    </row>
    <row r="9" customFormat="false" ht="15" hidden="false" customHeight="false" outlineLevel="0" collapsed="false">
      <c r="A9" s="12" t="s">
        <v>38</v>
      </c>
      <c r="B9" s="12"/>
      <c r="C9" s="12"/>
      <c r="D9" s="12"/>
      <c r="E9" s="12"/>
      <c r="F9" s="12"/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39</v>
      </c>
      <c r="B1" s="1"/>
      <c r="C1" s="1"/>
      <c r="D1" s="1"/>
    </row>
    <row r="2" customFormat="false" ht="15" hidden="false" customHeight="false" outlineLevel="0" collapsed="false">
      <c r="A2" s="2" t="s">
        <v>40</v>
      </c>
      <c r="B2" s="2"/>
      <c r="C2" s="2"/>
      <c r="D2" s="2"/>
    </row>
    <row r="4" customFormat="false" ht="15" hidden="false" customHeight="false" outlineLevel="0" collapsed="false">
      <c r="A4" s="3" t="s">
        <v>41</v>
      </c>
      <c r="B4" s="3" t="s">
        <v>42</v>
      </c>
      <c r="C4" s="3" t="s">
        <v>43</v>
      </c>
      <c r="D4" s="3" t="s">
        <v>44</v>
      </c>
    </row>
    <row r="5" customFormat="false" ht="23.85" hidden="false" customHeight="false" outlineLevel="0" collapsed="false">
      <c r="A5" s="4" t="s">
        <v>45</v>
      </c>
      <c r="B5" s="4" t="s">
        <v>46</v>
      </c>
      <c r="C5" s="7" t="s">
        <v>47</v>
      </c>
      <c r="D5" s="7" t="s">
        <v>48</v>
      </c>
    </row>
    <row r="6" customFormat="false" ht="23.85" hidden="false" customHeight="false" outlineLevel="0" collapsed="false">
      <c r="A6" s="8" t="s">
        <v>49</v>
      </c>
      <c r="B6" s="8" t="s">
        <v>50</v>
      </c>
      <c r="C6" s="11" t="s">
        <v>51</v>
      </c>
      <c r="D6" s="11" t="s">
        <v>48</v>
      </c>
    </row>
    <row r="7" customFormat="false" ht="23.85" hidden="false" customHeight="false" outlineLevel="0" collapsed="false">
      <c r="A7" s="4" t="s">
        <v>52</v>
      </c>
      <c r="B7" s="4" t="s">
        <v>53</v>
      </c>
      <c r="C7" s="7" t="s">
        <v>54</v>
      </c>
      <c r="D7" s="7" t="s">
        <v>48</v>
      </c>
    </row>
    <row r="8" customFormat="false" ht="23.85" hidden="false" customHeight="false" outlineLevel="0" collapsed="false">
      <c r="A8" s="8" t="s">
        <v>55</v>
      </c>
      <c r="B8" s="8" t="s">
        <v>56</v>
      </c>
      <c r="C8" s="11" t="s">
        <v>57</v>
      </c>
      <c r="D8" s="11" t="s">
        <v>58</v>
      </c>
    </row>
    <row r="9" customFormat="false" ht="23.85" hidden="false" customHeight="false" outlineLevel="0" collapsed="false">
      <c r="A9" s="4" t="s">
        <v>59</v>
      </c>
      <c r="B9" s="4" t="s">
        <v>60</v>
      </c>
      <c r="C9" s="7" t="s">
        <v>47</v>
      </c>
      <c r="D9" s="7" t="s">
        <v>61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62</v>
      </c>
      <c r="B1" s="1"/>
      <c r="C1" s="1"/>
      <c r="D1" s="1"/>
    </row>
    <row r="2" customFormat="false" ht="15" hidden="false" customHeight="false" outlineLevel="0" collapsed="false">
      <c r="A2" s="2" t="s">
        <v>40</v>
      </c>
      <c r="B2" s="2"/>
      <c r="C2" s="2"/>
      <c r="D2" s="2"/>
    </row>
    <row r="4" customFormat="false" ht="15" hidden="false" customHeight="false" outlineLevel="0" collapsed="false">
      <c r="A4" s="3" t="s">
        <v>41</v>
      </c>
      <c r="B4" s="3" t="s">
        <v>42</v>
      </c>
      <c r="C4" s="3" t="s">
        <v>43</v>
      </c>
      <c r="D4" s="3" t="s">
        <v>44</v>
      </c>
    </row>
    <row r="5" customFormat="false" ht="15" hidden="false" customHeight="false" outlineLevel="0" collapsed="false">
      <c r="A5" s="4" t="s">
        <v>63</v>
      </c>
      <c r="B5" s="4" t="s">
        <v>64</v>
      </c>
      <c r="C5" s="7" t="s">
        <v>51</v>
      </c>
      <c r="D5" s="7" t="s">
        <v>48</v>
      </c>
    </row>
    <row r="6" customFormat="false" ht="23.85" hidden="false" customHeight="false" outlineLevel="0" collapsed="false">
      <c r="A6" s="8" t="s">
        <v>65</v>
      </c>
      <c r="B6" s="8" t="s">
        <v>66</v>
      </c>
      <c r="C6" s="11" t="s">
        <v>51</v>
      </c>
      <c r="D6" s="11" t="s">
        <v>48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67</v>
      </c>
      <c r="B1" s="1"/>
      <c r="C1" s="1"/>
      <c r="D1" s="1"/>
    </row>
    <row r="2" customFormat="false" ht="15" hidden="false" customHeight="false" outlineLevel="0" collapsed="false">
      <c r="A2" s="2" t="s">
        <v>40</v>
      </c>
      <c r="B2" s="2"/>
      <c r="C2" s="2"/>
      <c r="D2" s="2"/>
    </row>
    <row r="4" customFormat="false" ht="15" hidden="false" customHeight="false" outlineLevel="0" collapsed="false">
      <c r="A4" s="3" t="s">
        <v>41</v>
      </c>
      <c r="B4" s="3" t="s">
        <v>42</v>
      </c>
      <c r="C4" s="3" t="s">
        <v>43</v>
      </c>
      <c r="D4" s="3" t="s">
        <v>44</v>
      </c>
    </row>
    <row r="5" customFormat="false" ht="35.05" hidden="false" customHeight="false" outlineLevel="0" collapsed="false">
      <c r="A5" s="4" t="s">
        <v>68</v>
      </c>
      <c r="B5" s="4" t="s">
        <v>69</v>
      </c>
      <c r="C5" s="7" t="s">
        <v>70</v>
      </c>
      <c r="D5" s="7" t="s">
        <v>71</v>
      </c>
    </row>
    <row r="6" customFormat="false" ht="23.85" hidden="false" customHeight="false" outlineLevel="0" collapsed="false">
      <c r="A6" s="8" t="s">
        <v>72</v>
      </c>
      <c r="B6" s="8" t="s">
        <v>73</v>
      </c>
      <c r="C6" s="11" t="s">
        <v>74</v>
      </c>
      <c r="D6" s="11" t="s">
        <v>48</v>
      </c>
    </row>
    <row r="7" customFormat="false" ht="15" hidden="false" customHeight="false" outlineLevel="0" collapsed="false">
      <c r="A7" s="4" t="s">
        <v>75</v>
      </c>
      <c r="B7" s="4" t="s">
        <v>76</v>
      </c>
      <c r="C7" s="7" t="s">
        <v>77</v>
      </c>
      <c r="D7" s="7" t="s">
        <v>77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2026-10-26T07:09:33Z</dcterms:created>
  <dc:creator>openpyxl</dc:creator>
  <dc:description/>
  <dc:language>en-US</dc:language>
  <cp:lastModifiedBy/>
  <dcterms:modified xsi:type="dcterms:W3CDTF">2026-10-26T07:09:33Z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